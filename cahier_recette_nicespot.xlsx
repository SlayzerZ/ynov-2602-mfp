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brah\Downloads\"/>
    </mc:Choice>
  </mc:AlternateContent>
  <xr:revisionPtr revIDLastSave="0" documentId="13_ncr:1_{EE74153C-8F26-4D81-896F-49B7E35FC0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écapitulatif" sheetId="1" r:id="rId1"/>
    <sheet name="SC01" sheetId="2" r:id="rId2"/>
    <sheet name="SC02" sheetId="3" r:id="rId3"/>
    <sheet name="SC03" sheetId="4" r:id="rId4"/>
    <sheet name="SC04" sheetId="5" r:id="rId5"/>
    <sheet name="SC05" sheetId="6" r:id="rId6"/>
    <sheet name="SC06" sheetId="7" r:id="rId7"/>
    <sheet name="SC07" sheetId="8" r:id="rId8"/>
    <sheet name="SC08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1" i="1"/>
  <c r="G12" i="1"/>
  <c r="G10" i="1"/>
  <c r="E18" i="1"/>
</calcChain>
</file>

<file path=xl/sharedStrings.xml><?xml version="1.0" encoding="utf-8"?>
<sst xmlns="http://schemas.openxmlformats.org/spreadsheetml/2006/main" count="374" uniqueCount="142">
  <si>
    <t>Application :</t>
  </si>
  <si>
    <t>NiceSpot</t>
  </si>
  <si>
    <t>Slogan :</t>
  </si>
  <si>
    <t>Right to the Nice Spot</t>
  </si>
  <si>
    <t>Version :</t>
  </si>
  <si>
    <t>1.0</t>
  </si>
  <si>
    <t>Date :</t>
  </si>
  <si>
    <t>Rédigé par :</t>
  </si>
  <si>
    <t>MODULE</t>
  </si>
  <si>
    <t>DESCRIPTION</t>
  </si>
  <si>
    <t>NB CAS DE TEST</t>
  </si>
  <si>
    <t>PRIORITÉ</t>
  </si>
  <si>
    <t>STATUT</t>
  </si>
  <si>
    <t>SC01</t>
  </si>
  <si>
    <t>Authentification &amp; Accès</t>
  </si>
  <si>
    <t>Haute</t>
  </si>
  <si>
    <t>Non testé</t>
  </si>
  <si>
    <t>SC02</t>
  </si>
  <si>
    <t>Ajout de lieux</t>
  </si>
  <si>
    <t>SC03</t>
  </si>
  <si>
    <t>Affichage carte &amp; liste</t>
  </si>
  <si>
    <t>SC04</t>
  </si>
  <si>
    <t>Recherche géographique</t>
  </si>
  <si>
    <t>Moyenne</t>
  </si>
  <si>
    <t>SC05</t>
  </si>
  <si>
    <t>Gestion des rôles (VIP/Admin)</t>
  </si>
  <si>
    <t>SC06</t>
  </si>
  <si>
    <t>Fonctionnalités sociales (à venir)</t>
  </si>
  <si>
    <t>Basse</t>
  </si>
  <si>
    <t>SC07</t>
  </si>
  <si>
    <t>Navigation Google Maps (à venir)</t>
  </si>
  <si>
    <t>SC08</t>
  </si>
  <si>
    <t>Paiement &amp; Abonnement (à venir)</t>
  </si>
  <si>
    <t>TOTAL</t>
  </si>
  <si>
    <t>LÉGENDE PRIORITÉ</t>
  </si>
  <si>
    <t>TEST SCENARIO – SC01 : Authentification &amp; Accès</t>
  </si>
  <si>
    <t>Contexte :</t>
  </si>
  <si>
    <t>A</t>
  </si>
  <si>
    <t>B</t>
  </si>
  <si>
    <t>C</t>
  </si>
  <si>
    <t>Statut</t>
  </si>
  <si>
    <t>Date exécution :</t>
  </si>
  <si>
    <t>Testeur :</t>
  </si>
  <si>
    <t>OK</t>
  </si>
  <si>
    <t>0</t>
  </si>
  <si>
    <t>OK :</t>
  </si>
  <si>
    <t>Non passé</t>
  </si>
  <si>
    <t>Non passé :</t>
  </si>
  <si>
    <t>KO</t>
  </si>
  <si>
    <t>KO :</t>
  </si>
  <si>
    <t>#</t>
  </si>
  <si>
    <t>Description</t>
  </si>
  <si>
    <t>Résultat attendu</t>
  </si>
  <si>
    <t>Obtenu
(Android)</t>
  </si>
  <si>
    <t>Commentaire / Anomalie</t>
  </si>
  <si>
    <t>Accéder à l'URL de l'application sans être connecté</t>
  </si>
  <si>
    <t>La page de connexion/inscription s'affiche</t>
  </si>
  <si>
    <t>Renseigner un email et un mot de passe valides puis valider</t>
  </si>
  <si>
    <t>L'utilisateur est redirigé vers la page principale avec un token valide</t>
  </si>
  <si>
    <t>Tenter d'accéder directement à une page protégée sans token</t>
  </si>
  <si>
    <t>L'utilisateur est redirigé vers la page de connexion</t>
  </si>
  <si>
    <t>Se déconnecter de l'application</t>
  </si>
  <si>
    <t>Le token est supprimé et l'utilisateur est renvoyé sur la page de connexion</t>
  </si>
  <si>
    <t>TEST SCENARIO – SC02 : Ajout de lieux</t>
  </si>
  <si>
    <t>Depuis la page principale, appuyer sur le bouton d'ajout de lieu</t>
  </si>
  <si>
    <t>Le formulaire d'ajout s'affiche</t>
  </si>
  <si>
    <t>Saisir un texte descriptif pour trouver les coordonnées d'un lieu</t>
  </si>
  <si>
    <t>Les coordonnées géographiques sont retrouvées et pré-remplies</t>
  </si>
  <si>
    <t>Remplir tous les champs obligatoires et soumettre le formulaire</t>
  </si>
  <si>
    <t>Le lieu est enregistré en base de données et un message de succès s'affiche</t>
  </si>
  <si>
    <t>Soumettre le formulaire avec des champs obligatoires vides</t>
  </si>
  <si>
    <t>Un message d'erreur s'affiche et l'enregistrement est bloqué</t>
  </si>
  <si>
    <t>TEST SCENARIO – SC03 : Affichage carte &amp; liste</t>
  </si>
  <si>
    <t>Accéder à la carte principale</t>
  </si>
  <si>
    <t>La carte s'affiche avec les points des lieux enregistrés</t>
  </si>
  <si>
    <t>Accéder à la liste des lieux</t>
  </si>
  <si>
    <t>La liste complète des adresses s'affiche</t>
  </si>
  <si>
    <t>Filtrer la liste pour n'afficher que ses propres lieux</t>
  </si>
  <si>
    <t>Seuls les lieux ajoutés par l'utilisateur connecté sont affichés</t>
  </si>
  <si>
    <t>Vérifier l'ordre d'affichage de la liste</t>
  </si>
  <si>
    <t>Les adresses des membres VIP apparaissent en tête de liste</t>
  </si>
  <si>
    <t>TEST SCENARIO – SC04 : Recherche géographique</t>
  </si>
  <si>
    <t>Depuis la liste, activer le filtre par coordonnées géographiques</t>
  </si>
  <si>
    <t>Les lieux les plus proches des coordonnées saisies s'affichent en premier</t>
  </si>
  <si>
    <t>Saisir des coordonnées très éloignées de tout lieu</t>
  </si>
  <si>
    <t>La liste est vide ou un message 'aucun résultat' s'affiche</t>
  </si>
  <si>
    <t>Modifier les coordonnées et relancer la recherche</t>
  </si>
  <si>
    <t>La liste se met à jour avec les nouveaux résultats de proximité</t>
  </si>
  <si>
    <t>TEST SCENARIO – SC05 : Gestion des rôles (VIP / Admin)</t>
  </si>
  <si>
    <t>Gestion des rôles (VIP / Admin)</t>
  </si>
  <si>
    <t>Se connecter avec un compte Utilisateur standard</t>
  </si>
  <si>
    <t>Accès aux fonctionnalités de base uniquement; pas d'accès aux options VIP</t>
  </si>
  <si>
    <t>Se connecter avec un compte VIP</t>
  </si>
  <si>
    <t>Accès aux fonctionnalités supplémentaires VIP (modération, personnalisation)</t>
  </si>
  <si>
    <t>Se connecter avec un compte Administrateur</t>
  </si>
  <si>
    <t>Accès complet y compris gestion des utilisateurs et statistiques</t>
  </si>
  <si>
    <t>Tenter d'accéder à une page Admin avec un compte standard</t>
  </si>
  <si>
    <t>Accès refusé – message d'erreur ou redirection</t>
  </si>
  <si>
    <t>TEST SCENARIO – SC06 : Fonctionnalités sociales (à venir)</t>
  </si>
  <si>
    <t>Attribuer une note de 0 à 10 à un lieu</t>
  </si>
  <si>
    <t>La note est enregistrée et la moyenne du lieu est recalculée</t>
  </si>
  <si>
    <t>Ajouter un commentaire sur un lieu</t>
  </si>
  <si>
    <t>Le commentaire apparaît dans la fiche du lieu</t>
  </si>
  <si>
    <t>Lire les commentaires d'un lieu</t>
  </si>
  <si>
    <t>La liste des commentaires s'affiche correctement</t>
  </si>
  <si>
    <t>Poster une photo sur un lieu</t>
  </si>
  <si>
    <t>La photo est uploadée et visible dans la fiche du lieu</t>
  </si>
  <si>
    <t>Afficher la galerie photos d'un lieu</t>
  </si>
  <si>
    <t>Toutes les photos postées s'affichent</t>
  </si>
  <si>
    <t>TEST SCENARIO – SC07 : Navigation Google Maps (à venir)</t>
  </si>
  <si>
    <t>Cliquer sur 'Y aller' depuis la fiche d'un lieu</t>
  </si>
  <si>
    <t>Google Maps s'ouvre avec les coordonnées du lieu pré-renseignées</t>
  </si>
  <si>
    <t>Ouvrir Google Maps depuis un appareil mobile</t>
  </si>
  <si>
    <t>L'application Maps native est lancée avec l'itinéraire</t>
  </si>
  <si>
    <t>TEST SCENARIO – SC08 : Paiement &amp; Abonnement (à venir)</t>
  </si>
  <si>
    <t>Accéder à la page d'abonnement VIP</t>
  </si>
  <si>
    <t>Les offres et tarifs s'affichent correctement</t>
  </si>
  <si>
    <t>Effectuer un paiement avec une carte de test valide</t>
  </si>
  <si>
    <t>Le paiement est accepté et le compte passe en statut VIP</t>
  </si>
  <si>
    <t>Effectuer un paiement avec une carte invalide</t>
  </si>
  <si>
    <t>Le paiement est refusé et un message d'erreur s'affiche</t>
  </si>
  <si>
    <t>Remplir le formulaire de création de compte</t>
  </si>
  <si>
    <t>Le compte est crée et l'utilisateur est bien rediriger vers la page d'acceuil</t>
  </si>
  <si>
    <t>Chrome</t>
  </si>
  <si>
    <t>FireFox</t>
  </si>
  <si>
    <t>Edge</t>
  </si>
  <si>
    <t>Obtenu
(Chrome)</t>
  </si>
  <si>
    <t>Obtenu
(FireFox)</t>
  </si>
  <si>
    <t>Obtenu
(Edge)</t>
  </si>
  <si>
    <t>Parti Prenantes</t>
  </si>
  <si>
    <t>Modérateur</t>
  </si>
  <si>
    <t>Bêta-Testeur</t>
  </si>
  <si>
    <t>Dev</t>
  </si>
  <si>
    <t>La position de l'utilisateur est détecté</t>
  </si>
  <si>
    <t>Envoi de Notification</t>
  </si>
  <si>
    <t>Ibrahim Ari Malla</t>
  </si>
  <si>
    <t>Cahier de Recette – NiceSpot</t>
  </si>
  <si>
    <t>Se Rapprocher d'un lieu (Mobile)</t>
  </si>
  <si>
    <t>Pouvoir Activer la géolocalisation</t>
  </si>
  <si>
    <t>Mobile - Android</t>
  </si>
  <si>
    <t>Ouverture du dashboard en tant qu'admin</t>
  </si>
  <si>
    <t>Les différentes statistiques sont bien visibles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</si>
</sst>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11"/>
      <color rgb="FF000000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Arial"/>
      <family val="2"/>
    </font>
    <font>
      <b/>
      <sz val="8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F3640"/>
        <bgColor rgb="FF2F364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BDD7EE"/>
        <bgColor rgb="FFBDD7EE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DEBD0"/>
        <bgColor rgb="FFFADBD8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4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F2F2"/>
      <color rgb="FFFDEB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4" width="10" customWidth="1"/>
    <col min="5" max="5" width="14" customWidth="1"/>
    <col min="6" max="6" width="12" customWidth="1"/>
    <col min="7" max="7" width="14" customWidth="1"/>
  </cols>
  <sheetData>
    <row r="1" spans="1:8" ht="36" customHeight="1" x14ac:dyDescent="0.3">
      <c r="A1" s="41" t="s">
        <v>136</v>
      </c>
      <c r="B1" s="38"/>
      <c r="C1" s="38"/>
      <c r="D1" s="38"/>
      <c r="E1" s="38"/>
      <c r="F1" s="38"/>
      <c r="G1" s="38"/>
      <c r="H1" s="38"/>
    </row>
    <row r="3" spans="1:8" x14ac:dyDescent="0.3">
      <c r="A3" s="1" t="s">
        <v>0</v>
      </c>
      <c r="B3" s="42" t="s">
        <v>1</v>
      </c>
      <c r="C3" s="38"/>
      <c r="D3" s="38"/>
    </row>
    <row r="4" spans="1:8" x14ac:dyDescent="0.3">
      <c r="A4" s="1" t="s">
        <v>2</v>
      </c>
      <c r="B4" s="42" t="s">
        <v>3</v>
      </c>
      <c r="C4" s="38"/>
      <c r="D4" s="38"/>
    </row>
    <row r="5" spans="1:8" x14ac:dyDescent="0.3">
      <c r="A5" s="1" t="s">
        <v>4</v>
      </c>
      <c r="B5" s="42" t="s">
        <v>5</v>
      </c>
      <c r="C5" s="38"/>
      <c r="D5" s="38"/>
    </row>
    <row r="6" spans="1:8" x14ac:dyDescent="0.3">
      <c r="A6" s="1" t="s">
        <v>6</v>
      </c>
      <c r="B6" s="48">
        <v>46103</v>
      </c>
      <c r="C6" s="38"/>
      <c r="D6" s="38"/>
    </row>
    <row r="7" spans="1:8" x14ac:dyDescent="0.3">
      <c r="A7" s="1" t="s">
        <v>7</v>
      </c>
      <c r="B7" s="43" t="s">
        <v>135</v>
      </c>
      <c r="C7" s="38"/>
      <c r="D7" s="38"/>
    </row>
    <row r="9" spans="1:8" ht="22.05" customHeight="1" x14ac:dyDescent="0.3">
      <c r="A9" s="3" t="s">
        <v>8</v>
      </c>
      <c r="B9" s="45" t="s">
        <v>9</v>
      </c>
      <c r="C9" s="46"/>
      <c r="D9" s="47"/>
      <c r="E9" s="3" t="s">
        <v>10</v>
      </c>
      <c r="F9" s="3" t="s">
        <v>11</v>
      </c>
      <c r="G9" s="3" t="s">
        <v>12</v>
      </c>
    </row>
    <row r="10" spans="1:8" x14ac:dyDescent="0.3">
      <c r="A10" s="4" t="s">
        <v>13</v>
      </c>
      <c r="B10" s="42" t="s">
        <v>14</v>
      </c>
      <c r="C10" s="38"/>
      <c r="D10" s="38"/>
      <c r="E10" s="5">
        <v>5</v>
      </c>
      <c r="F10" s="6" t="s">
        <v>15</v>
      </c>
      <c r="G10" s="7" t="str">
        <f>'SC01'!B7</f>
        <v>Non testé</v>
      </c>
    </row>
    <row r="11" spans="1:8" x14ac:dyDescent="0.3">
      <c r="A11" s="8" t="s">
        <v>17</v>
      </c>
      <c r="B11" s="44" t="s">
        <v>18</v>
      </c>
      <c r="C11" s="38"/>
      <c r="D11" s="38"/>
      <c r="E11" s="7">
        <v>4</v>
      </c>
      <c r="F11" s="6" t="s">
        <v>15</v>
      </c>
      <c r="G11" s="7" t="str">
        <f>'SC02'!B7</f>
        <v>Non testé</v>
      </c>
    </row>
    <row r="12" spans="1:8" x14ac:dyDescent="0.3">
      <c r="A12" s="4" t="s">
        <v>19</v>
      </c>
      <c r="B12" s="42" t="s">
        <v>20</v>
      </c>
      <c r="C12" s="38"/>
      <c r="D12" s="38"/>
      <c r="E12" s="5">
        <v>4</v>
      </c>
      <c r="F12" s="6" t="s">
        <v>15</v>
      </c>
      <c r="G12" s="7" t="str">
        <f>'SC03'!B7</f>
        <v>Non testé</v>
      </c>
    </row>
    <row r="13" spans="1:8" x14ac:dyDescent="0.3">
      <c r="A13" s="8" t="s">
        <v>21</v>
      </c>
      <c r="B13" s="44" t="s">
        <v>22</v>
      </c>
      <c r="C13" s="38"/>
      <c r="D13" s="38"/>
      <c r="E13" s="7">
        <v>3</v>
      </c>
      <c r="F13" s="10" t="s">
        <v>23</v>
      </c>
      <c r="G13" s="7" t="str">
        <f>'SC04'!B7</f>
        <v>Non testé</v>
      </c>
    </row>
    <row r="14" spans="1:8" x14ac:dyDescent="0.3">
      <c r="A14" s="4" t="s">
        <v>24</v>
      </c>
      <c r="B14" s="42" t="s">
        <v>25</v>
      </c>
      <c r="C14" s="38"/>
      <c r="D14" s="38"/>
      <c r="E14" s="5">
        <v>4</v>
      </c>
      <c r="F14" s="10" t="s">
        <v>23</v>
      </c>
      <c r="G14" s="7" t="str">
        <f>'SC05'!B7</f>
        <v>Non testé</v>
      </c>
    </row>
    <row r="15" spans="1:8" x14ac:dyDescent="0.3">
      <c r="A15" s="8" t="s">
        <v>26</v>
      </c>
      <c r="B15" s="44" t="s">
        <v>27</v>
      </c>
      <c r="C15" s="38"/>
      <c r="D15" s="38"/>
      <c r="E15" s="7">
        <v>5</v>
      </c>
      <c r="F15" s="11" t="s">
        <v>28</v>
      </c>
      <c r="G15" s="7" t="str">
        <f>'SC06'!B7</f>
        <v>Non testé</v>
      </c>
    </row>
    <row r="16" spans="1:8" x14ac:dyDescent="0.3">
      <c r="A16" s="4" t="s">
        <v>29</v>
      </c>
      <c r="B16" s="42" t="s">
        <v>30</v>
      </c>
      <c r="C16" s="38"/>
      <c r="D16" s="38"/>
      <c r="E16" s="5">
        <v>2</v>
      </c>
      <c r="F16" s="11" t="s">
        <v>28</v>
      </c>
      <c r="G16" s="7" t="str">
        <f>'SC07'!B7</f>
        <v>Non testé</v>
      </c>
    </row>
    <row r="17" spans="1:7" x14ac:dyDescent="0.3">
      <c r="A17" s="8" t="s">
        <v>31</v>
      </c>
      <c r="B17" s="44" t="s">
        <v>32</v>
      </c>
      <c r="C17" s="38"/>
      <c r="D17" s="38"/>
      <c r="E17" s="7">
        <v>3</v>
      </c>
      <c r="F17" s="26" t="s">
        <v>23</v>
      </c>
      <c r="G17" s="7" t="str">
        <f>'SC08'!B7</f>
        <v>Non testé</v>
      </c>
    </row>
    <row r="18" spans="1:7" x14ac:dyDescent="0.3">
      <c r="A18" s="12" t="s">
        <v>33</v>
      </c>
      <c r="B18" s="40"/>
      <c r="C18" s="38"/>
      <c r="D18" s="38"/>
      <c r="E18" s="12">
        <f>SUM(E10:E17)</f>
        <v>30</v>
      </c>
      <c r="F18" s="13"/>
      <c r="G18" s="13"/>
    </row>
    <row r="20" spans="1:7" x14ac:dyDescent="0.3">
      <c r="A20" s="14" t="s">
        <v>34</v>
      </c>
    </row>
    <row r="21" spans="1:7" x14ac:dyDescent="0.3">
      <c r="A21" s="6" t="s">
        <v>15</v>
      </c>
    </row>
    <row r="22" spans="1:7" x14ac:dyDescent="0.3">
      <c r="A22" s="10" t="s">
        <v>23</v>
      </c>
    </row>
    <row r="23" spans="1:7" x14ac:dyDescent="0.3">
      <c r="A23" s="11" t="s">
        <v>28</v>
      </c>
    </row>
  </sheetData>
  <mergeCells count="16">
    <mergeCell ref="B18:D18"/>
    <mergeCell ref="A1:H1"/>
    <mergeCell ref="B12:D12"/>
    <mergeCell ref="B7:D7"/>
    <mergeCell ref="B6:D6"/>
    <mergeCell ref="B16:D16"/>
    <mergeCell ref="B15:D15"/>
    <mergeCell ref="B4:D4"/>
    <mergeCell ref="B17:D17"/>
    <mergeCell ref="B9:D9"/>
    <mergeCell ref="B13:D13"/>
    <mergeCell ref="B10:D10"/>
    <mergeCell ref="B11:D11"/>
    <mergeCell ref="B3:D3"/>
    <mergeCell ref="B5:D5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A5" workbookViewId="0">
      <selection activeCell="B5" sqref="B5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35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13</v>
      </c>
      <c r="B3" s="38"/>
      <c r="C3" s="37" t="s">
        <v>14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28.8" x14ac:dyDescent="0.3">
      <c r="A5" s="29" t="s">
        <v>129</v>
      </c>
      <c r="B5" s="30" t="s">
        <v>131</v>
      </c>
      <c r="E5" s="17" t="s">
        <v>123</v>
      </c>
      <c r="F5" s="17" t="s">
        <v>124</v>
      </c>
      <c r="G5" s="17" t="s">
        <v>125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22" t="s">
        <v>126</v>
      </c>
      <c r="E13" s="22" t="s">
        <v>127</v>
      </c>
      <c r="F13" s="22" t="s">
        <v>128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55</v>
      </c>
      <c r="C14" s="23" t="s">
        <v>56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57</v>
      </c>
      <c r="C15" s="25" t="s">
        <v>58</v>
      </c>
      <c r="D15" s="2"/>
      <c r="E15" s="2"/>
      <c r="F15" s="2"/>
      <c r="G15" s="24"/>
      <c r="H15" s="24"/>
      <c r="I15" s="24"/>
      <c r="J15" s="24"/>
      <c r="K15" s="2"/>
    </row>
    <row r="16" spans="1:11" ht="49.95" customHeight="1" x14ac:dyDescent="0.3">
      <c r="A16" s="4">
        <v>3</v>
      </c>
      <c r="B16" s="23" t="s">
        <v>59</v>
      </c>
      <c r="C16" s="23" t="s">
        <v>60</v>
      </c>
      <c r="D16" s="2"/>
      <c r="E16" s="2"/>
      <c r="F16" s="2"/>
      <c r="G16" s="24"/>
      <c r="H16" s="24"/>
      <c r="I16" s="24"/>
      <c r="J16" s="24"/>
      <c r="K16" s="2"/>
    </row>
    <row r="17" spans="1:11" ht="49.95" customHeight="1" x14ac:dyDescent="0.3">
      <c r="A17" s="8">
        <v>4</v>
      </c>
      <c r="B17" s="25" t="s">
        <v>61</v>
      </c>
      <c r="C17" s="25" t="s">
        <v>62</v>
      </c>
      <c r="D17" s="2"/>
      <c r="E17" s="2"/>
      <c r="F17" s="2"/>
      <c r="G17" s="24"/>
      <c r="H17" s="24"/>
      <c r="I17" s="24"/>
      <c r="J17" s="24"/>
      <c r="K17" s="2"/>
    </row>
    <row r="18" spans="1:11" ht="22.8" x14ac:dyDescent="0.3">
      <c r="A18" s="27">
        <v>5</v>
      </c>
      <c r="B18" s="28" t="s">
        <v>121</v>
      </c>
      <c r="C18" s="28" t="s">
        <v>122</v>
      </c>
      <c r="D18" s="2"/>
    </row>
  </sheetData>
  <mergeCells count="3">
    <mergeCell ref="A3:B3"/>
    <mergeCell ref="A1:K1"/>
    <mergeCell ref="C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topLeftCell="A7" workbookViewId="0">
      <selection activeCell="B7" sqref="B7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63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17</v>
      </c>
      <c r="B3" s="38"/>
      <c r="C3" s="37" t="s">
        <v>18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28.8" x14ac:dyDescent="0.3">
      <c r="A5" s="29" t="s">
        <v>129</v>
      </c>
      <c r="B5" s="30" t="s">
        <v>131</v>
      </c>
      <c r="E5" s="17" t="s">
        <v>123</v>
      </c>
      <c r="F5" s="17" t="s">
        <v>124</v>
      </c>
      <c r="G5" s="17" t="s">
        <v>125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22" t="s">
        <v>126</v>
      </c>
      <c r="E13" s="22" t="s">
        <v>127</v>
      </c>
      <c r="F13" s="22" t="s">
        <v>128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64</v>
      </c>
      <c r="C14" s="23" t="s">
        <v>65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66</v>
      </c>
      <c r="C15" s="25" t="s">
        <v>67</v>
      </c>
      <c r="D15" s="2"/>
      <c r="E15" s="2"/>
      <c r="F15" s="2"/>
      <c r="G15" s="24"/>
      <c r="H15" s="24"/>
      <c r="I15" s="24"/>
      <c r="J15" s="24"/>
      <c r="K15" s="2"/>
    </row>
    <row r="16" spans="1:11" ht="49.95" customHeight="1" x14ac:dyDescent="0.3">
      <c r="A16" s="4">
        <v>3</v>
      </c>
      <c r="B16" s="23" t="s">
        <v>68</v>
      </c>
      <c r="C16" s="23" t="s">
        <v>69</v>
      </c>
      <c r="D16" s="2"/>
      <c r="E16" s="2"/>
      <c r="F16" s="2"/>
      <c r="G16" s="24"/>
      <c r="H16" s="24"/>
      <c r="I16" s="24"/>
      <c r="J16" s="24"/>
      <c r="K16" s="2"/>
    </row>
    <row r="17" spans="1:11" ht="49.95" customHeight="1" x14ac:dyDescent="0.3">
      <c r="A17" s="8">
        <v>4</v>
      </c>
      <c r="B17" s="25" t="s">
        <v>70</v>
      </c>
      <c r="C17" s="25" t="s">
        <v>71</v>
      </c>
      <c r="D17" s="2"/>
      <c r="E17" s="2"/>
      <c r="F17" s="2"/>
      <c r="G17" s="24"/>
      <c r="H17" s="24"/>
      <c r="I17" s="24"/>
      <c r="J17" s="24"/>
      <c r="K17" s="2"/>
    </row>
  </sheetData>
  <mergeCells count="3">
    <mergeCell ref="A3:B3"/>
    <mergeCell ref="A1:K1"/>
    <mergeCell ref="C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topLeftCell="A4" workbookViewId="0">
      <selection activeCell="B5" sqref="B5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72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19</v>
      </c>
      <c r="B3" s="38"/>
      <c r="C3" s="37" t="s">
        <v>20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28.8" x14ac:dyDescent="0.3">
      <c r="A5" s="29" t="s">
        <v>129</v>
      </c>
      <c r="B5" s="30" t="s">
        <v>131</v>
      </c>
      <c r="E5" s="17" t="s">
        <v>123</v>
      </c>
      <c r="F5" s="17" t="s">
        <v>124</v>
      </c>
      <c r="G5" s="17" t="s">
        <v>125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22" t="s">
        <v>126</v>
      </c>
      <c r="E13" s="22" t="s">
        <v>127</v>
      </c>
      <c r="F13" s="22" t="s">
        <v>128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73</v>
      </c>
      <c r="C14" s="23" t="s">
        <v>74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75</v>
      </c>
      <c r="C15" s="25" t="s">
        <v>76</v>
      </c>
      <c r="D15" s="2"/>
      <c r="E15" s="2"/>
      <c r="F15" s="2"/>
      <c r="G15" s="24"/>
      <c r="H15" s="24"/>
      <c r="I15" s="24"/>
      <c r="J15" s="24"/>
      <c r="K15" s="2"/>
    </row>
    <row r="16" spans="1:11" ht="49.95" customHeight="1" x14ac:dyDescent="0.3">
      <c r="A16" s="4">
        <v>3</v>
      </c>
      <c r="B16" s="23" t="s">
        <v>77</v>
      </c>
      <c r="C16" s="23" t="s">
        <v>78</v>
      </c>
      <c r="D16" s="2"/>
      <c r="E16" s="2"/>
      <c r="F16" s="2"/>
      <c r="G16" s="24"/>
      <c r="H16" s="24"/>
      <c r="I16" s="24"/>
      <c r="J16" s="24"/>
      <c r="K16" s="2"/>
    </row>
    <row r="17" spans="1:11" ht="49.95" customHeight="1" x14ac:dyDescent="0.3">
      <c r="A17" s="8">
        <v>4</v>
      </c>
      <c r="B17" s="25" t="s">
        <v>79</v>
      </c>
      <c r="C17" s="25" t="s">
        <v>80</v>
      </c>
      <c r="D17" s="2"/>
      <c r="E17" s="2"/>
      <c r="F17" s="2"/>
      <c r="G17" s="24"/>
      <c r="H17" s="24"/>
      <c r="I17" s="24"/>
      <c r="J17" s="24"/>
      <c r="K17" s="2"/>
    </row>
  </sheetData>
  <mergeCells count="3">
    <mergeCell ref="A3:B3"/>
    <mergeCell ref="A1:K1"/>
    <mergeCell ref="C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>
      <selection activeCell="C17" sqref="C17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81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21</v>
      </c>
      <c r="B3" s="38"/>
      <c r="C3" s="37" t="s">
        <v>22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28.8" x14ac:dyDescent="0.3">
      <c r="A5" s="29" t="s">
        <v>129</v>
      </c>
      <c r="B5" s="30" t="s">
        <v>132</v>
      </c>
      <c r="E5" s="17" t="s">
        <v>123</v>
      </c>
      <c r="F5" s="17" t="s">
        <v>124</v>
      </c>
      <c r="G5" s="33" t="s">
        <v>139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31" t="s">
        <v>126</v>
      </c>
      <c r="E13" s="22" t="s">
        <v>127</v>
      </c>
      <c r="F13" s="31" t="s">
        <v>53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82</v>
      </c>
      <c r="C14" s="23" t="s">
        <v>83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84</v>
      </c>
      <c r="C15" s="25" t="s">
        <v>85</v>
      </c>
      <c r="D15" s="2"/>
      <c r="E15" s="2"/>
      <c r="F15" s="2"/>
      <c r="G15" s="24"/>
      <c r="H15" s="24"/>
      <c r="I15" s="24"/>
      <c r="J15" s="24"/>
      <c r="K15" s="2"/>
    </row>
    <row r="16" spans="1:11" ht="49.95" customHeight="1" x14ac:dyDescent="0.3">
      <c r="A16" s="4">
        <v>3</v>
      </c>
      <c r="B16" s="23" t="s">
        <v>86</v>
      </c>
      <c r="C16" s="23" t="s">
        <v>87</v>
      </c>
      <c r="D16" s="2"/>
      <c r="E16" s="2"/>
      <c r="F16" s="2"/>
      <c r="G16" s="24"/>
      <c r="H16" s="24"/>
      <c r="I16" s="24"/>
      <c r="J16" s="24"/>
      <c r="K16" s="2"/>
    </row>
    <row r="17" spans="1:3" ht="49.95" customHeight="1" x14ac:dyDescent="0.3">
      <c r="A17" s="35">
        <v>4</v>
      </c>
      <c r="B17" s="36" t="s">
        <v>138</v>
      </c>
      <c r="C17" s="36" t="s">
        <v>133</v>
      </c>
    </row>
    <row r="18" spans="1:3" ht="49.95" customHeight="1" x14ac:dyDescent="0.3">
      <c r="A18" s="4">
        <v>5</v>
      </c>
      <c r="B18" s="32" t="s">
        <v>137</v>
      </c>
      <c r="C18" s="32" t="s">
        <v>134</v>
      </c>
    </row>
  </sheetData>
  <mergeCells count="3">
    <mergeCell ref="A3:B3"/>
    <mergeCell ref="A1:K1"/>
    <mergeCell ref="C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88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24</v>
      </c>
      <c r="B3" s="38"/>
      <c r="C3" s="37" t="s">
        <v>89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28.8" x14ac:dyDescent="0.3">
      <c r="A5" s="29" t="s">
        <v>129</v>
      </c>
      <c r="B5" s="30" t="s">
        <v>130</v>
      </c>
      <c r="E5" s="17" t="s">
        <v>123</v>
      </c>
      <c r="F5" s="17" t="s">
        <v>124</v>
      </c>
      <c r="G5" s="17" t="s">
        <v>125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22" t="s">
        <v>126</v>
      </c>
      <c r="E13" s="22" t="s">
        <v>127</v>
      </c>
      <c r="F13" s="22" t="s">
        <v>128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90</v>
      </c>
      <c r="C14" s="23" t="s">
        <v>91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92</v>
      </c>
      <c r="C15" s="25" t="s">
        <v>93</v>
      </c>
      <c r="D15" s="2"/>
      <c r="E15" s="2"/>
      <c r="F15" s="2"/>
      <c r="G15" s="24"/>
      <c r="H15" s="24"/>
      <c r="I15" s="24"/>
      <c r="J15" s="24"/>
      <c r="K15" s="2"/>
    </row>
    <row r="16" spans="1:11" ht="49.95" customHeight="1" x14ac:dyDescent="0.3">
      <c r="A16" s="4">
        <v>3</v>
      </c>
      <c r="B16" s="23" t="s">
        <v>94</v>
      </c>
      <c r="C16" s="23" t="s">
        <v>95</v>
      </c>
      <c r="D16" s="2"/>
      <c r="E16" s="2"/>
      <c r="F16" s="2"/>
      <c r="G16" s="24"/>
      <c r="H16" s="24"/>
      <c r="I16" s="24"/>
      <c r="J16" s="24"/>
      <c r="K16" s="2"/>
    </row>
    <row r="17" spans="1:11" ht="49.95" customHeight="1" x14ac:dyDescent="0.3">
      <c r="A17" s="8">
        <v>4</v>
      </c>
      <c r="B17" s="25" t="s">
        <v>96</v>
      </c>
      <c r="C17" s="25" t="s">
        <v>97</v>
      </c>
      <c r="D17" s="2"/>
      <c r="E17" s="2"/>
      <c r="F17" s="2"/>
      <c r="G17" s="24"/>
      <c r="H17" s="24"/>
      <c r="I17" s="24"/>
      <c r="J17" s="24"/>
      <c r="K17" s="2"/>
    </row>
    <row r="18" spans="1:11" ht="49.95" customHeight="1" x14ac:dyDescent="0.3">
      <c r="A18" s="27">
        <v>5</v>
      </c>
      <c r="B18" s="34" t="s">
        <v>140</v>
      </c>
      <c r="C18" s="34" t="s">
        <v>141</v>
      </c>
    </row>
  </sheetData>
  <mergeCells count="3">
    <mergeCell ref="A3:B3"/>
    <mergeCell ref="A1:K1"/>
    <mergeCell ref="C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topLeftCell="A5" workbookViewId="0">
      <selection activeCell="A5" sqref="A5:B5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26</v>
      </c>
      <c r="B3" s="38"/>
      <c r="C3" s="37" t="s">
        <v>27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30" customHeight="1" x14ac:dyDescent="0.3">
      <c r="A5" s="29" t="s">
        <v>129</v>
      </c>
      <c r="B5" s="30" t="s">
        <v>130</v>
      </c>
      <c r="E5" s="17" t="s">
        <v>123</v>
      </c>
      <c r="F5" s="17" t="s">
        <v>124</v>
      </c>
      <c r="G5" s="17" t="s">
        <v>125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22" t="s">
        <v>126</v>
      </c>
      <c r="E13" s="22" t="s">
        <v>127</v>
      </c>
      <c r="F13" s="22" t="s">
        <v>128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99</v>
      </c>
      <c r="C14" s="23" t="s">
        <v>100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101</v>
      </c>
      <c r="C15" s="25" t="s">
        <v>102</v>
      </c>
      <c r="D15" s="2"/>
      <c r="E15" s="2"/>
      <c r="F15" s="2"/>
      <c r="G15" s="24"/>
      <c r="H15" s="24"/>
      <c r="I15" s="24"/>
      <c r="J15" s="24"/>
      <c r="K15" s="2"/>
    </row>
    <row r="16" spans="1:11" ht="49.95" customHeight="1" x14ac:dyDescent="0.3">
      <c r="A16" s="4">
        <v>3</v>
      </c>
      <c r="B16" s="23" t="s">
        <v>103</v>
      </c>
      <c r="C16" s="23" t="s">
        <v>104</v>
      </c>
      <c r="D16" s="2"/>
      <c r="E16" s="2"/>
      <c r="F16" s="2"/>
      <c r="G16" s="24"/>
      <c r="H16" s="24"/>
      <c r="I16" s="24"/>
      <c r="J16" s="24"/>
      <c r="K16" s="2"/>
    </row>
    <row r="17" spans="1:11" ht="49.95" customHeight="1" x14ac:dyDescent="0.3">
      <c r="A17" s="8">
        <v>4</v>
      </c>
      <c r="B17" s="25" t="s">
        <v>105</v>
      </c>
      <c r="C17" s="25" t="s">
        <v>106</v>
      </c>
      <c r="D17" s="2"/>
      <c r="E17" s="2"/>
      <c r="F17" s="2"/>
      <c r="G17" s="24"/>
      <c r="H17" s="24"/>
      <c r="I17" s="24"/>
      <c r="J17" s="24"/>
      <c r="K17" s="2"/>
    </row>
    <row r="18" spans="1:11" ht="49.95" customHeight="1" x14ac:dyDescent="0.3">
      <c r="A18" s="4">
        <v>5</v>
      </c>
      <c r="B18" s="23" t="s">
        <v>107</v>
      </c>
      <c r="C18" s="23" t="s">
        <v>108</v>
      </c>
      <c r="D18" s="2"/>
      <c r="E18" s="2"/>
      <c r="F18" s="2"/>
      <c r="G18" s="24"/>
      <c r="H18" s="24"/>
      <c r="I18" s="24"/>
      <c r="J18" s="24"/>
      <c r="K18" s="2"/>
    </row>
  </sheetData>
  <mergeCells count="3">
    <mergeCell ref="A3:B3"/>
    <mergeCell ref="A1:K1"/>
    <mergeCell ref="C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workbookViewId="0">
      <selection activeCell="F15" sqref="F15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109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29</v>
      </c>
      <c r="B3" s="38"/>
      <c r="C3" s="37" t="s">
        <v>30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28.8" x14ac:dyDescent="0.3">
      <c r="A5" s="29" t="s">
        <v>129</v>
      </c>
      <c r="B5" s="30" t="s">
        <v>132</v>
      </c>
      <c r="E5" s="17" t="s">
        <v>123</v>
      </c>
      <c r="F5" s="17" t="s">
        <v>124</v>
      </c>
      <c r="G5" s="33" t="s">
        <v>139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22" t="s">
        <v>126</v>
      </c>
      <c r="E13" s="22" t="s">
        <v>127</v>
      </c>
      <c r="F13" s="31" t="s">
        <v>53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110</v>
      </c>
      <c r="C14" s="23" t="s">
        <v>111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112</v>
      </c>
      <c r="C15" s="25" t="s">
        <v>113</v>
      </c>
      <c r="D15" s="2"/>
      <c r="E15" s="2"/>
      <c r="F15" s="2"/>
      <c r="G15" s="24"/>
      <c r="H15" s="24"/>
      <c r="I15" s="24"/>
      <c r="J15" s="24"/>
      <c r="K15" s="2"/>
    </row>
  </sheetData>
  <mergeCells count="3">
    <mergeCell ref="A3:B3"/>
    <mergeCell ref="A1:K1"/>
    <mergeCell ref="C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topLeftCell="A2" workbookViewId="0">
      <selection activeCell="F16" sqref="F16"/>
    </sheetView>
  </sheetViews>
  <sheetFormatPr baseColWidth="10" defaultColWidth="8.88671875" defaultRowHeight="14.4" x14ac:dyDescent="0.3"/>
  <cols>
    <col min="1" max="1" width="10" customWidth="1"/>
    <col min="2" max="3" width="42" customWidth="1"/>
    <col min="4" max="7" width="13" customWidth="1"/>
    <col min="8" max="10" width="3" customWidth="1"/>
    <col min="11" max="11" width="35" customWidth="1"/>
  </cols>
  <sheetData>
    <row r="1" spans="1:11" ht="30" customHeight="1" x14ac:dyDescent="0.3">
      <c r="A1" s="39" t="s">
        <v>114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37" t="s">
        <v>31</v>
      </c>
      <c r="B3" s="38"/>
      <c r="C3" s="37" t="s">
        <v>32</v>
      </c>
      <c r="D3" s="38"/>
      <c r="E3" s="38"/>
      <c r="F3" s="38"/>
    </row>
    <row r="4" spans="1:11" x14ac:dyDescent="0.3">
      <c r="D4" s="15" t="s">
        <v>36</v>
      </c>
      <c r="E4" s="16" t="s">
        <v>37</v>
      </c>
      <c r="F4" s="16" t="s">
        <v>38</v>
      </c>
      <c r="G4" s="16" t="s">
        <v>39</v>
      </c>
    </row>
    <row r="5" spans="1:11" ht="28.8" x14ac:dyDescent="0.3">
      <c r="A5" s="29" t="s">
        <v>129</v>
      </c>
      <c r="B5" s="30" t="s">
        <v>132</v>
      </c>
      <c r="E5" s="17" t="s">
        <v>123</v>
      </c>
      <c r="F5" s="17" t="s">
        <v>124</v>
      </c>
      <c r="G5" s="17" t="s">
        <v>125</v>
      </c>
    </row>
    <row r="6" spans="1:11" x14ac:dyDescent="0.3">
      <c r="D6" s="18" t="s">
        <v>4</v>
      </c>
      <c r="E6" s="2"/>
      <c r="F6" s="2"/>
      <c r="G6" s="2"/>
    </row>
    <row r="7" spans="1:11" x14ac:dyDescent="0.3">
      <c r="A7" s="1" t="s">
        <v>40</v>
      </c>
      <c r="B7" s="9" t="s">
        <v>16</v>
      </c>
      <c r="D7" s="18" t="s">
        <v>41</v>
      </c>
      <c r="E7" s="2"/>
      <c r="F7" s="2"/>
      <c r="G7" s="2"/>
    </row>
    <row r="8" spans="1:11" x14ac:dyDescent="0.3">
      <c r="D8" s="18" t="s">
        <v>42</v>
      </c>
      <c r="E8" s="2"/>
      <c r="F8" s="2"/>
      <c r="G8" s="2"/>
    </row>
    <row r="9" spans="1:11" x14ac:dyDescent="0.3">
      <c r="A9" s="19" t="s">
        <v>43</v>
      </c>
      <c r="B9" s="19" t="s">
        <v>44</v>
      </c>
      <c r="D9" s="18" t="s">
        <v>45</v>
      </c>
      <c r="E9" s="5">
        <v>0</v>
      </c>
      <c r="F9" s="5">
        <v>0</v>
      </c>
      <c r="G9" s="5">
        <v>0</v>
      </c>
    </row>
    <row r="10" spans="1:11" x14ac:dyDescent="0.3">
      <c r="A10" s="20" t="s">
        <v>46</v>
      </c>
      <c r="B10" s="20" t="s">
        <v>44</v>
      </c>
      <c r="D10" s="18" t="s">
        <v>47</v>
      </c>
      <c r="E10" s="5">
        <v>0</v>
      </c>
      <c r="F10" s="5">
        <v>0</v>
      </c>
      <c r="G10" s="5">
        <v>0</v>
      </c>
    </row>
    <row r="11" spans="1:11" x14ac:dyDescent="0.3">
      <c r="A11" s="21" t="s">
        <v>48</v>
      </c>
      <c r="B11" s="21" t="s">
        <v>44</v>
      </c>
      <c r="D11" s="18" t="s">
        <v>49</v>
      </c>
      <c r="E11" s="5">
        <v>0</v>
      </c>
      <c r="F11" s="5">
        <v>0</v>
      </c>
      <c r="G11" s="5">
        <v>0</v>
      </c>
    </row>
    <row r="13" spans="1:11" ht="30" customHeight="1" x14ac:dyDescent="0.3">
      <c r="A13" s="22" t="s">
        <v>50</v>
      </c>
      <c r="B13" s="22" t="s">
        <v>51</v>
      </c>
      <c r="C13" s="22" t="s">
        <v>52</v>
      </c>
      <c r="D13" s="22" t="s">
        <v>126</v>
      </c>
      <c r="E13" s="22" t="s">
        <v>127</v>
      </c>
      <c r="F13" s="22" t="s">
        <v>128</v>
      </c>
      <c r="G13" s="22"/>
      <c r="H13" s="22"/>
      <c r="I13" s="22"/>
      <c r="J13" s="22"/>
      <c r="K13" s="22" t="s">
        <v>54</v>
      </c>
    </row>
    <row r="14" spans="1:11" ht="49.95" customHeight="1" x14ac:dyDescent="0.3">
      <c r="A14" s="4">
        <v>1</v>
      </c>
      <c r="B14" s="23" t="s">
        <v>115</v>
      </c>
      <c r="C14" s="23" t="s">
        <v>116</v>
      </c>
      <c r="D14" s="2"/>
      <c r="E14" s="2"/>
      <c r="F14" s="2"/>
      <c r="G14" s="24"/>
      <c r="H14" s="24"/>
      <c r="I14" s="24"/>
      <c r="J14" s="24"/>
      <c r="K14" s="2"/>
    </row>
    <row r="15" spans="1:11" ht="49.95" customHeight="1" x14ac:dyDescent="0.3">
      <c r="A15" s="8">
        <v>2</v>
      </c>
      <c r="B15" s="25" t="s">
        <v>117</v>
      </c>
      <c r="C15" s="25" t="s">
        <v>118</v>
      </c>
      <c r="D15" s="2"/>
      <c r="E15" s="2"/>
      <c r="F15" s="2"/>
      <c r="G15" s="24"/>
      <c r="H15" s="24"/>
      <c r="I15" s="24"/>
      <c r="J15" s="24"/>
      <c r="K15" s="2"/>
    </row>
    <row r="16" spans="1:11" ht="49.95" customHeight="1" x14ac:dyDescent="0.3">
      <c r="A16" s="4">
        <v>3</v>
      </c>
      <c r="B16" s="23" t="s">
        <v>119</v>
      </c>
      <c r="C16" s="23" t="s">
        <v>120</v>
      </c>
      <c r="D16" s="2"/>
      <c r="E16" s="2"/>
      <c r="F16" s="2"/>
      <c r="G16" s="24"/>
      <c r="H16" s="24"/>
      <c r="I16" s="24"/>
      <c r="J16" s="24"/>
      <c r="K16" s="2"/>
    </row>
  </sheetData>
  <mergeCells count="3">
    <mergeCell ref="A3:B3"/>
    <mergeCell ref="A1:K1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Récapitulatif</vt:lpstr>
      <vt:lpstr>SC01</vt:lpstr>
      <vt:lpstr>SC02</vt:lpstr>
      <vt:lpstr>SC03</vt:lpstr>
      <vt:lpstr>SC04</vt:lpstr>
      <vt:lpstr>SC05</vt:lpstr>
      <vt:lpstr>SC06</vt:lpstr>
      <vt:lpstr>SC07</vt:lpstr>
      <vt:lpstr>SC08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MALLA Ibrahim</cp:lastModifiedBy>
  <dcterms:created xsi:type="dcterms:W3CDTF">2026-03-22T08:06:09Z</dcterms:created>
  <dcterms:modified xsi:type="dcterms:W3CDTF">2026-03-22T12:41:12Z</dcterms:modified>
</cp:coreProperties>
</file>